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ic" sheetId="1" r:id="rId4"/>
    <sheet state="visible" name="Audi 90 GTO" sheetId="2" r:id="rId5"/>
    <sheet state="visible" name="rFactor 2" sheetId="3" r:id="rId6"/>
    <sheet state="visible" name="V8 Supercar" sheetId="4" r:id="rId7"/>
    <sheet state="visible" name="GTE" sheetId="5" r:id="rId8"/>
    <sheet state="visible" name="GT3" sheetId="6" r:id="rId9"/>
    <sheet state="visible" name="Math Testing" sheetId="7" r:id="rId10"/>
  </sheets>
  <definedNames/>
  <calcPr/>
</workbook>
</file>

<file path=xl/sharedStrings.xml><?xml version="1.0" encoding="utf-8"?>
<sst xmlns="http://schemas.openxmlformats.org/spreadsheetml/2006/main" count="211" uniqueCount="67">
  <si>
    <t>Fuel By Time</t>
  </si>
  <si>
    <t>Fuel by Observed Usage</t>
  </si>
  <si>
    <t>Lap Time</t>
  </si>
  <si>
    <t>Fuel Use /Lap</t>
  </si>
  <si>
    <t>Lap Time (s)</t>
  </si>
  <si>
    <t>Race Time (m)</t>
  </si>
  <si>
    <t>Race Time (s)</t>
  </si>
  <si>
    <t>Race (Laps)</t>
  </si>
  <si>
    <t>Race Fuel (L)</t>
  </si>
  <si>
    <t>Fuel Usage / Lap</t>
  </si>
  <si>
    <t>Min</t>
  </si>
  <si>
    <t>Seconds</t>
  </si>
  <si>
    <t>Lap in Seconds</t>
  </si>
  <si>
    <t>Full_Tank</t>
  </si>
  <si>
    <t>Fuel at Pit</t>
  </si>
  <si>
    <t>Race_Time [m]</t>
  </si>
  <si>
    <t>Fuel by Laps</t>
  </si>
  <si>
    <t>Fuel Use/Lap</t>
  </si>
  <si>
    <t>Fuel Capacity (L)</t>
  </si>
  <si>
    <t>Race Laps</t>
  </si>
  <si>
    <t>Race_Time [s]</t>
  </si>
  <si>
    <t>Lap_Time [s]</t>
  </si>
  <si>
    <t>Fuel by Calculated Usage</t>
  </si>
  <si>
    <t>50.7L</t>
  </si>
  <si>
    <t>21.4sec</t>
  </si>
  <si>
    <t>Observed L/Lap</t>
  </si>
  <si>
    <t>Calculated L/Lap</t>
  </si>
  <si>
    <t>2.3L / Sec</t>
  </si>
  <si>
    <t>4Tires</t>
  </si>
  <si>
    <t>16sec</t>
  </si>
  <si>
    <t>37L / Tire Change</t>
  </si>
  <si>
    <t>Corvette</t>
  </si>
  <si>
    <t>911 RSR</t>
  </si>
  <si>
    <t>Race - 45 min</t>
  </si>
  <si>
    <t>Fuel_Usage = 2*Full_Tank / (Race Laps)</t>
  </si>
  <si>
    <t>Fuel Use / Lap</t>
  </si>
  <si>
    <t>Fuel to Finish</t>
  </si>
  <si>
    <t>Fuel Usage</t>
  </si>
  <si>
    <t>Fuel Usage - ECO</t>
  </si>
  <si>
    <t>Fuel_Usage = 2*Full_Tank / (( Race_Time [s] / Lap_Time [s] ) + 2 Laps )</t>
  </si>
  <si>
    <t>alsk</t>
  </si>
  <si>
    <t>"fuel_req = (race_time / lap_time) * fuel_used_per_lap"</t>
  </si>
  <si>
    <t>Race - 75 min</t>
  </si>
  <si>
    <t>Laps per Tank</t>
  </si>
  <si>
    <t>Lap_Time [m]</t>
  </si>
  <si>
    <t>L/Lap</t>
  </si>
  <si>
    <t>Lap_Time [s']</t>
  </si>
  <si>
    <t>Fuel tank</t>
  </si>
  <si>
    <t>Laps per Stint</t>
  </si>
  <si>
    <t>Lap_Time</t>
  </si>
  <si>
    <t>4 Tires</t>
  </si>
  <si>
    <t>80L</t>
  </si>
  <si>
    <t>Race - 45 min ECO</t>
  </si>
  <si>
    <t>L/Second</t>
  </si>
  <si>
    <t>Tire Change</t>
  </si>
  <si>
    <t>L/Tire Change</t>
  </si>
  <si>
    <t>100L</t>
  </si>
  <si>
    <t>120L</t>
  </si>
  <si>
    <t>Race - 24 Hours</t>
  </si>
  <si>
    <t>Stints</t>
  </si>
  <si>
    <t>L/sec</t>
  </si>
  <si>
    <t>Fuel Sprint</t>
  </si>
  <si>
    <t>Pitstop Time</t>
  </si>
  <si>
    <t>Fuel Endurance</t>
  </si>
  <si>
    <t>L/Lap - ECO</t>
  </si>
  <si>
    <t>Laps / Tank - ECO</t>
  </si>
  <si>
    <t>Race - 12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</si>
</sst>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2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 readingOrder="0"/>
    </xf>
    <xf borderId="4" fillId="2" fontId="1" numFmtId="0" xfId="0" applyAlignment="1" applyBorder="1" applyFill="1" applyFont="1">
      <alignment vertical="bottom"/>
    </xf>
    <xf borderId="5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readingOrder="0"/>
    </xf>
    <xf borderId="5" fillId="2" fontId="2" numFmtId="0" xfId="0" applyAlignment="1" applyBorder="1" applyFill="1" applyFont="1">
      <alignment readingOrder="0"/>
    </xf>
    <xf borderId="0" fillId="4" fontId="1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  <xf borderId="6" fillId="4" fontId="1" numFmtId="0" xfId="0" applyAlignment="1" applyBorder="1" applyFill="1" applyFont="1">
      <alignment horizontal="right" readingOrder="0" vertical="bottom"/>
    </xf>
    <xf borderId="0" fillId="3" fontId="2" numFmtId="0" xfId="0" applyAlignment="1" applyFill="1" applyFont="1">
      <alignment readingOrder="0"/>
    </xf>
    <xf borderId="7" fillId="4" fontId="1" numFmtId="0" xfId="0" applyAlignment="1" applyBorder="1" applyFill="1" applyFont="1">
      <alignment horizontal="right" readingOrder="0" vertical="bottom"/>
    </xf>
    <xf borderId="7" fillId="4" fontId="1" numFmtId="0" xfId="0" applyAlignment="1" applyBorder="1" applyFill="1" applyFont="1">
      <alignment horizontal="right" vertical="bottom"/>
    </xf>
    <xf borderId="0" fillId="4" fontId="2" numFmtId="0" xfId="0" applyFill="1" applyFont="1"/>
    <xf borderId="8" fillId="4" fontId="2" numFmtId="0" xfId="0" applyBorder="1" applyFill="1" applyFont="1"/>
    <xf borderId="3" fillId="4" fontId="2" numFmtId="0" xfId="0" applyBorder="1" applyFill="1" applyFont="1"/>
    <xf borderId="1" fillId="2" fontId="2" numFmtId="0" xfId="0" applyAlignment="1" applyBorder="1" applyFill="1" applyFont="1">
      <alignment readingOrder="0"/>
    </xf>
    <xf borderId="0" fillId="5" fontId="2" numFmtId="0" xfId="0" applyFill="1" applyFont="1"/>
    <xf borderId="0" fillId="5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</cols>
  <sheetData>
    <row r="1">
      <c r="A1" s="1" t="s">
        <v>0</v>
      </c>
      <c r="B1" s="1"/>
      <c r="C1" s="1"/>
      <c r="D1" s="1"/>
      <c r="E1" s="1"/>
      <c r="F1" s="1"/>
      <c r="J1" s="2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H2" s="2" t="s">
        <v>9</v>
      </c>
      <c r="J2" s="2" t="s">
        <v>10</v>
      </c>
      <c r="K2" s="2" t="s">
        <v>11</v>
      </c>
      <c r="L2" s="2" t="s">
        <v>12</v>
      </c>
    </row>
    <row r="3">
      <c r="A3" s="13">
        <f>H3</f>
        <v>3</v>
      </c>
      <c r="B3" s="13">
        <f>sum(L3)</f>
        <v>108</v>
      </c>
      <c r="C3" s="14">
        <v>20.0</v>
      </c>
      <c r="D3" s="15">
        <f>PRODUCT(60,C3)</f>
        <v>1200</v>
      </c>
      <c r="E3" s="15">
        <f>sum(QUOTIENT(D3,B3),2)</f>
        <v>13</v>
      </c>
      <c r="F3" s="15">
        <f>PRODUCT(E3,A3)</f>
        <v>39</v>
      </c>
      <c r="H3" s="17">
        <v>3.0</v>
      </c>
      <c r="J3" s="17">
        <v>1.0</v>
      </c>
      <c r="K3" s="17">
        <v>48.0</v>
      </c>
      <c r="L3" s="20">
        <f>sum(product(J3,60),K3)</f>
        <v>108</v>
      </c>
    </row>
    <row r="4">
      <c r="A4" s="2"/>
      <c r="B4" s="2"/>
      <c r="C4" s="2"/>
      <c r="D4" s="2"/>
      <c r="E4" s="2"/>
      <c r="F4" s="2">
        <f>sum(F3,-H5)</f>
        <v>-81</v>
      </c>
      <c r="H4" s="2" t="s">
        <v>18</v>
      </c>
    </row>
    <row r="5">
      <c r="A5" s="2" t="s">
        <v>16</v>
      </c>
      <c r="B5" s="2"/>
      <c r="C5" s="2"/>
      <c r="D5" s="2"/>
      <c r="E5" s="2"/>
      <c r="F5" s="2"/>
      <c r="H5" s="17">
        <v>120.0</v>
      </c>
    </row>
    <row r="6">
      <c r="A6" s="2" t="s">
        <v>17</v>
      </c>
      <c r="B6" s="2" t="s">
        <v>4</v>
      </c>
      <c r="C6" s="2" t="s">
        <v>5</v>
      </c>
      <c r="D6" s="2" t="s">
        <v>6</v>
      </c>
      <c r="E6" s="2" t="s">
        <v>19</v>
      </c>
      <c r="F6" s="2" t="s">
        <v>8</v>
      </c>
    </row>
    <row r="7">
      <c r="A7" s="17">
        <f>H3</f>
        <v>3</v>
      </c>
      <c r="B7" s="17">
        <f>L3</f>
        <v>108</v>
      </c>
      <c r="C7" s="20">
        <f>round((D7/60),2)</f>
        <v>27</v>
      </c>
      <c r="D7" s="20">
        <f>PRODUCT(E7,B7)</f>
        <v>1620</v>
      </c>
      <c r="E7" s="17">
        <v>15.0</v>
      </c>
      <c r="F7" s="20">
        <f>round(sum(PRODUCT(A7,E7),(A7 * 2)),2)</f>
        <v>51</v>
      </c>
    </row>
    <row r="9">
      <c r="E9" s="2"/>
    </row>
    <row r="10">
      <c r="E1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</cols>
  <sheetData>
    <row r="1">
      <c r="A1" s="1" t="s">
        <v>0</v>
      </c>
      <c r="B1" s="1"/>
      <c r="C1" s="1"/>
      <c r="D1" s="1"/>
      <c r="E1" s="1"/>
      <c r="F1" s="1"/>
      <c r="J1" s="2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H2" s="2" t="s">
        <v>9</v>
      </c>
      <c r="J2" s="2" t="s">
        <v>10</v>
      </c>
      <c r="K2" s="2" t="s">
        <v>11</v>
      </c>
      <c r="L2" s="2" t="s">
        <v>12</v>
      </c>
    </row>
    <row r="3">
      <c r="A3" s="13">
        <f>H3</f>
        <v>2.5</v>
      </c>
      <c r="B3" s="13">
        <f>sum(L3)</f>
        <v>77.5</v>
      </c>
      <c r="C3" s="14">
        <v>40.0</v>
      </c>
      <c r="D3" s="15">
        <f>PRODUCT(60,C3)</f>
        <v>2400</v>
      </c>
      <c r="E3" s="15">
        <f>sum(QUOTIENT(D3,B3),2)</f>
        <v>32</v>
      </c>
      <c r="F3" s="15">
        <f>PRODUCT(E3,A3)</f>
        <v>80</v>
      </c>
      <c r="H3" s="17">
        <v>2.5</v>
      </c>
      <c r="J3" s="17">
        <v>1.0</v>
      </c>
      <c r="K3" s="17">
        <v>17.5</v>
      </c>
      <c r="L3" s="20">
        <f>sum(product(J3,60),K3)</f>
        <v>77.5</v>
      </c>
    </row>
    <row r="4">
      <c r="A4" s="2"/>
      <c r="B4" s="2"/>
      <c r="C4" s="2"/>
      <c r="D4" s="2"/>
      <c r="E4" s="2"/>
      <c r="F4" s="2">
        <f>sum(F3,-75)</f>
        <v>5</v>
      </c>
      <c r="H4" s="2"/>
    </row>
    <row r="5">
      <c r="A5" s="2" t="s">
        <v>16</v>
      </c>
      <c r="B5" s="2"/>
      <c r="C5" s="2"/>
      <c r="D5" s="2"/>
      <c r="E5" s="2"/>
      <c r="F5" s="2"/>
      <c r="H5" s="2"/>
    </row>
    <row r="6">
      <c r="A6" s="2" t="s">
        <v>17</v>
      </c>
      <c r="B6" s="2" t="s">
        <v>4</v>
      </c>
      <c r="C6" s="2" t="s">
        <v>5</v>
      </c>
      <c r="D6" s="2" t="s">
        <v>6</v>
      </c>
      <c r="E6" s="2" t="s">
        <v>19</v>
      </c>
      <c r="F6" s="2" t="s">
        <v>8</v>
      </c>
    </row>
    <row r="7">
      <c r="A7" s="17">
        <f>H3</f>
        <v>2.5</v>
      </c>
      <c r="B7" s="17">
        <f>L3</f>
        <v>77.5</v>
      </c>
      <c r="C7" s="20">
        <f>QUOTIENT(D7,60)</f>
        <v>9</v>
      </c>
      <c r="D7" s="20">
        <f>PRODUCT(E7,B7)</f>
        <v>542.5</v>
      </c>
      <c r="E7" s="17">
        <v>7.0</v>
      </c>
      <c r="F7" s="20">
        <f>sum(PRODUCT(A7,E7),A7)</f>
        <v>20</v>
      </c>
    </row>
    <row r="9">
      <c r="A9" s="2" t="s">
        <v>23</v>
      </c>
      <c r="B9" s="2" t="s">
        <v>24</v>
      </c>
      <c r="C9">
        <f>divide(50.7,21.4)</f>
        <v>2.369158879</v>
      </c>
      <c r="D9" s="2" t="s">
        <v>27</v>
      </c>
      <c r="E9" s="2"/>
    </row>
    <row r="10">
      <c r="A10" s="2" t="s">
        <v>28</v>
      </c>
      <c r="B10" s="2" t="s">
        <v>29</v>
      </c>
      <c r="C10">
        <f>multiply(16,C9)</f>
        <v>37.90654206</v>
      </c>
      <c r="D10" s="2" t="s">
        <v>30</v>
      </c>
      <c r="E1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25"/>
    <col customWidth="1" min="10" max="10" width="13.5"/>
  </cols>
  <sheetData>
    <row r="1">
      <c r="A1" s="3" t="s">
        <v>1</v>
      </c>
      <c r="B1" s="4"/>
      <c r="C1" s="1"/>
      <c r="D1" s="1"/>
      <c r="E1" s="1"/>
      <c r="G1" s="5" t="s">
        <v>13</v>
      </c>
      <c r="H1" s="6">
        <v>90.0</v>
      </c>
      <c r="I1" s="7" t="s">
        <v>2</v>
      </c>
      <c r="J1" s="4"/>
    </row>
    <row r="2">
      <c r="A2" s="8" t="s">
        <v>3</v>
      </c>
      <c r="B2" s="9" t="s">
        <v>4</v>
      </c>
      <c r="C2" s="10" t="s">
        <v>6</v>
      </c>
      <c r="D2" s="10" t="s">
        <v>7</v>
      </c>
      <c r="E2" s="10" t="s">
        <v>8</v>
      </c>
      <c r="F2" s="5" t="s">
        <v>14</v>
      </c>
      <c r="G2" s="5" t="s">
        <v>15</v>
      </c>
      <c r="H2" s="6">
        <v>60.0</v>
      </c>
      <c r="I2" s="11" t="s">
        <v>10</v>
      </c>
      <c r="J2" s="12" t="s">
        <v>11</v>
      </c>
    </row>
    <row r="3">
      <c r="A3" s="16">
        <f>I6</f>
        <v>4.44</v>
      </c>
      <c r="B3" s="18">
        <f>H4+0.5</f>
        <v>95.5</v>
      </c>
      <c r="C3" s="19">
        <f>H3</f>
        <v>3600</v>
      </c>
      <c r="D3" s="19">
        <f>sum(QUOTIENT(C3,B3),2)</f>
        <v>39</v>
      </c>
      <c r="E3" s="19">
        <f>PRODUCT(D3,A3)</f>
        <v>173.16</v>
      </c>
      <c r="F3" s="21">
        <f>E3-95</f>
        <v>78.16</v>
      </c>
      <c r="G3" s="5" t="s">
        <v>20</v>
      </c>
      <c r="H3" s="22">
        <f>H2*60</f>
        <v>3600</v>
      </c>
      <c r="I3" s="6">
        <v>1.0</v>
      </c>
      <c r="J3" s="6">
        <v>35.0</v>
      </c>
    </row>
    <row r="4">
      <c r="G4" s="5" t="s">
        <v>21</v>
      </c>
      <c r="H4" s="22">
        <f>(I3*60)+J3</f>
        <v>95</v>
      </c>
    </row>
    <row r="5">
      <c r="A5" s="23" t="s">
        <v>22</v>
      </c>
      <c r="B5" s="4"/>
      <c r="C5" s="24"/>
      <c r="D5" s="24"/>
      <c r="E5" s="24"/>
      <c r="F5" s="24"/>
      <c r="G5" s="25"/>
      <c r="H5" s="24"/>
      <c r="I5" s="5" t="s">
        <v>25</v>
      </c>
      <c r="J5" s="5" t="s">
        <v>26</v>
      </c>
    </row>
    <row r="6">
      <c r="A6" s="8" t="s">
        <v>3</v>
      </c>
      <c r="B6" s="9" t="s">
        <v>4</v>
      </c>
      <c r="C6" s="10" t="s">
        <v>6</v>
      </c>
      <c r="D6" s="10" t="s">
        <v>7</v>
      </c>
      <c r="E6" s="10" t="s">
        <v>8</v>
      </c>
      <c r="F6" s="5" t="s">
        <v>14</v>
      </c>
      <c r="I6" s="6">
        <v>4.44</v>
      </c>
      <c r="J6" s="22">
        <f>ROUND((2*H1)/((H3/H4)+2),3)</f>
        <v>4.512</v>
      </c>
    </row>
    <row r="7">
      <c r="A7" s="16">
        <f>J6</f>
        <v>4.512</v>
      </c>
      <c r="B7" s="18">
        <f>H4+0.5</f>
        <v>95.5</v>
      </c>
      <c r="C7" s="19">
        <f>H3</f>
        <v>3600</v>
      </c>
      <c r="D7" s="19">
        <f>sum(QUOTIENT(C7,B7),2)</f>
        <v>39</v>
      </c>
      <c r="E7" s="19">
        <f>PRODUCT(D7,A7)</f>
        <v>175.968</v>
      </c>
      <c r="F7" s="21">
        <f>E7-95</f>
        <v>80.968</v>
      </c>
    </row>
    <row r="8">
      <c r="A8" s="2" t="s">
        <v>31</v>
      </c>
    </row>
    <row r="9">
      <c r="A9" s="8" t="s">
        <v>3</v>
      </c>
      <c r="B9" s="9" t="s">
        <v>4</v>
      </c>
      <c r="C9" s="10" t="s">
        <v>6</v>
      </c>
      <c r="D9" s="10" t="s">
        <v>7</v>
      </c>
      <c r="E9" s="10" t="s">
        <v>8</v>
      </c>
      <c r="F9" s="5" t="s">
        <v>14</v>
      </c>
    </row>
    <row r="10">
      <c r="A10" s="16">
        <v>4.62</v>
      </c>
      <c r="B10" s="18">
        <f>H4+0.5</f>
        <v>95.5</v>
      </c>
      <c r="C10" s="19">
        <f>H3</f>
        <v>3600</v>
      </c>
      <c r="D10" s="19">
        <f>sum(QUOTIENT(C10,B10),2)</f>
        <v>39</v>
      </c>
      <c r="E10" s="19">
        <f>PRODUCT(D10,A10)</f>
        <v>180.18</v>
      </c>
      <c r="F10" s="21">
        <f>E10-90</f>
        <v>90.18</v>
      </c>
    </row>
    <row r="11">
      <c r="A11" s="2" t="s">
        <v>32</v>
      </c>
    </row>
    <row r="12">
      <c r="A12" s="8" t="s">
        <v>3</v>
      </c>
      <c r="B12" s="9" t="s">
        <v>4</v>
      </c>
      <c r="C12" s="10" t="s">
        <v>6</v>
      </c>
      <c r="D12" s="10" t="s">
        <v>7</v>
      </c>
      <c r="E12" s="10" t="s">
        <v>8</v>
      </c>
      <c r="F12" s="5" t="s">
        <v>14</v>
      </c>
    </row>
    <row r="13">
      <c r="A13" s="16">
        <v>5.2</v>
      </c>
      <c r="B13" s="18">
        <f>H4+0.5</f>
        <v>95.5</v>
      </c>
      <c r="C13" s="19">
        <f>H3</f>
        <v>3600</v>
      </c>
      <c r="D13" s="19">
        <f>sum(QUOTIENT(C13,B13),2)</f>
        <v>39</v>
      </c>
      <c r="E13" s="19">
        <f>PRODUCT(D13,A13)</f>
        <v>202.8</v>
      </c>
      <c r="F13" s="21">
        <f>E13-90</f>
        <v>112.8</v>
      </c>
    </row>
  </sheetData>
  <mergeCells count="3">
    <mergeCell ref="A1:B1"/>
    <mergeCell ref="I1:J1"/>
    <mergeCell ref="A5:B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38"/>
  </cols>
  <sheetData>
    <row r="1">
      <c r="A1" s="1" t="s">
        <v>0</v>
      </c>
      <c r="B1" s="1"/>
      <c r="C1" s="1"/>
      <c r="D1" s="1"/>
      <c r="E1" s="1"/>
      <c r="F1" s="1"/>
      <c r="J1" s="2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H2" s="2" t="s">
        <v>9</v>
      </c>
      <c r="J2" s="2" t="s">
        <v>10</v>
      </c>
      <c r="K2" s="2" t="s">
        <v>11</v>
      </c>
      <c r="L2" s="2" t="s">
        <v>12</v>
      </c>
    </row>
    <row r="3">
      <c r="A3" s="13">
        <f>H3</f>
        <v>4.87</v>
      </c>
      <c r="B3" s="13">
        <f>sum(L3)</f>
        <v>132</v>
      </c>
      <c r="C3" s="14">
        <v>45.0</v>
      </c>
      <c r="D3" s="15">
        <f>PRODUCT(60,C3)</f>
        <v>2700</v>
      </c>
      <c r="E3" s="15">
        <f>sum(QUOTIENT(D3,B3),3)</f>
        <v>23</v>
      </c>
      <c r="F3" s="15">
        <f>PRODUCT(E3,A3)</f>
        <v>112.01</v>
      </c>
      <c r="H3" s="17">
        <v>4.87</v>
      </c>
      <c r="J3" s="17">
        <v>2.0</v>
      </c>
      <c r="K3" s="17">
        <v>12.0</v>
      </c>
      <c r="L3" s="20">
        <f>sum(product(J3,60),K3)</f>
        <v>132</v>
      </c>
    </row>
    <row r="4">
      <c r="A4" s="2"/>
      <c r="B4" s="2"/>
      <c r="C4" s="2"/>
      <c r="D4" s="2"/>
      <c r="E4" s="2"/>
      <c r="F4" s="2"/>
      <c r="H4" s="2"/>
    </row>
    <row r="5">
      <c r="A5" s="2" t="s">
        <v>16</v>
      </c>
      <c r="B5" s="2"/>
      <c r="C5" s="2"/>
      <c r="D5" s="2"/>
      <c r="E5" s="2"/>
      <c r="F5" s="2"/>
      <c r="H5" s="2"/>
    </row>
    <row r="6">
      <c r="A6" s="2" t="s">
        <v>17</v>
      </c>
      <c r="B6" s="2" t="s">
        <v>4</v>
      </c>
      <c r="C6" s="2" t="s">
        <v>5</v>
      </c>
      <c r="D6" s="2" t="s">
        <v>6</v>
      </c>
      <c r="E6" s="2" t="s">
        <v>19</v>
      </c>
      <c r="F6" s="2" t="s">
        <v>8</v>
      </c>
    </row>
    <row r="7">
      <c r="A7" s="17">
        <f>H3</f>
        <v>4.87</v>
      </c>
      <c r="B7" s="17">
        <f>L3</f>
        <v>132</v>
      </c>
      <c r="C7" s="20">
        <f>QUOTIENT(D7,60)</f>
        <v>354</v>
      </c>
      <c r="D7" s="20">
        <f>PRODUCT(E7,B7)</f>
        <v>21252</v>
      </c>
      <c r="E7" s="17">
        <v>161.0</v>
      </c>
      <c r="F7" s="20">
        <f>sum(PRODUCT(A7,E7),A7)</f>
        <v>788.94</v>
      </c>
    </row>
    <row r="9">
      <c r="E9" s="2"/>
    </row>
    <row r="10">
      <c r="E1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14" max="14" width="13.88"/>
  </cols>
  <sheetData>
    <row r="1">
      <c r="A1" s="2" t="s">
        <v>33</v>
      </c>
      <c r="B1" s="2"/>
      <c r="C1" s="2"/>
      <c r="D1" s="2"/>
      <c r="E1" s="2"/>
      <c r="F1" s="2"/>
    </row>
    <row r="2">
      <c r="A2" s="2" t="s">
        <v>35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36</v>
      </c>
      <c r="H2" s="2"/>
      <c r="I2" s="2" t="s">
        <v>37</v>
      </c>
      <c r="K2" s="2" t="s">
        <v>10</v>
      </c>
      <c r="L2" s="2" t="s">
        <v>11</v>
      </c>
      <c r="M2" s="2" t="s">
        <v>12</v>
      </c>
    </row>
    <row r="3">
      <c r="A3" s="17">
        <f>I3</f>
        <v>2.179</v>
      </c>
      <c r="B3" s="20">
        <f>M3</f>
        <v>90</v>
      </c>
      <c r="C3" s="17">
        <v>45.0</v>
      </c>
      <c r="D3" s="20">
        <f>PRODUCT(60,C3)</f>
        <v>2700</v>
      </c>
      <c r="E3" s="20">
        <f>sum(QUOTIENT(D3,B3),2)</f>
        <v>32</v>
      </c>
      <c r="F3" s="20">
        <f>PRODUCT(E3,A3)</f>
        <v>69.728</v>
      </c>
      <c r="G3" s="20">
        <f>sum(F3,-45)</f>
        <v>24.728</v>
      </c>
      <c r="H3" s="2"/>
      <c r="I3" s="17">
        <v>2.179</v>
      </c>
      <c r="J3" s="2" t="s">
        <v>2</v>
      </c>
      <c r="K3" s="17">
        <v>1.0</v>
      </c>
      <c r="L3" s="17">
        <v>30.0</v>
      </c>
      <c r="M3" s="20">
        <f>sum(product(K3,60),L3)</f>
        <v>90</v>
      </c>
      <c r="N3" s="2"/>
    </row>
    <row r="4">
      <c r="F4" s="2"/>
      <c r="H4" s="2"/>
      <c r="N4" s="2"/>
    </row>
    <row r="5">
      <c r="A5" s="2" t="s">
        <v>42</v>
      </c>
      <c r="B5" s="2"/>
      <c r="C5" s="2"/>
      <c r="D5" s="2"/>
      <c r="E5" s="2"/>
      <c r="F5" s="2"/>
      <c r="I5" s="26" t="s">
        <v>43</v>
      </c>
      <c r="J5" s="26" t="s">
        <v>45</v>
      </c>
      <c r="K5" s="26" t="s">
        <v>47</v>
      </c>
      <c r="L5" s="26" t="s">
        <v>48</v>
      </c>
      <c r="N5" s="2"/>
    </row>
    <row r="6">
      <c r="A6" s="2" t="s">
        <v>35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36</v>
      </c>
      <c r="I6" s="26"/>
      <c r="J6" s="27">
        <f>I3</f>
        <v>2.179</v>
      </c>
      <c r="K6" s="28">
        <v>98.0</v>
      </c>
      <c r="L6" s="27">
        <f>sum(rounddown(divide(K6,J6),0),-1)</f>
        <v>43</v>
      </c>
    </row>
    <row r="7">
      <c r="A7" s="17">
        <f>I3</f>
        <v>2.179</v>
      </c>
      <c r="B7" s="20">
        <f>M3</f>
        <v>90</v>
      </c>
      <c r="C7" s="17">
        <v>75.0</v>
      </c>
      <c r="D7" s="20">
        <f>PRODUCT(60,C7)</f>
        <v>4500</v>
      </c>
      <c r="E7" s="20">
        <f>sum(QUOTIENT(D7,B7),2)</f>
        <v>52</v>
      </c>
      <c r="F7" s="20">
        <f>PRODUCT(E7,A7)</f>
        <v>113.308</v>
      </c>
      <c r="G7" s="20">
        <f>sum(F7,-98)</f>
        <v>15.308</v>
      </c>
    </row>
    <row r="9">
      <c r="A9" s="2" t="s">
        <v>58</v>
      </c>
    </row>
    <row r="10">
      <c r="A10" s="2" t="s">
        <v>35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59</v>
      </c>
    </row>
    <row r="11">
      <c r="A11" s="30">
        <f>I3</f>
        <v>2.179</v>
      </c>
      <c r="B11" s="20">
        <f>M3</f>
        <v>90</v>
      </c>
      <c r="C11" s="30">
        <f>multiply(24,60)</f>
        <v>1440</v>
      </c>
      <c r="D11" s="20">
        <f>multiply(C11,60)</f>
        <v>86400</v>
      </c>
      <c r="E11" s="20">
        <f>roundup(divide(1440,rounddown(divide(M3,60),3)),0)</f>
        <v>960</v>
      </c>
      <c r="F11" s="20">
        <f>multiply(E11,A11)</f>
        <v>2091.84</v>
      </c>
      <c r="G11" s="20">
        <f>roundup(divide(F11,K6),0)</f>
        <v>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9" max="9" width="14.38"/>
    <col customWidth="1" min="10" max="10" width="15.88"/>
    <col customWidth="1" min="14" max="14" width="13.88"/>
  </cols>
  <sheetData>
    <row r="1">
      <c r="A1" s="2" t="s">
        <v>33</v>
      </c>
      <c r="B1" s="2"/>
      <c r="C1" s="2"/>
      <c r="D1" s="2"/>
      <c r="E1" s="2"/>
      <c r="F1" s="2"/>
      <c r="K1" s="2"/>
      <c r="L1" s="2" t="s">
        <v>2</v>
      </c>
    </row>
    <row r="2">
      <c r="A2" s="2" t="s">
        <v>35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36</v>
      </c>
      <c r="H2" s="2"/>
      <c r="I2" s="2" t="s">
        <v>37</v>
      </c>
      <c r="J2" s="2" t="s">
        <v>38</v>
      </c>
      <c r="K2" s="2"/>
      <c r="L2" s="2" t="s">
        <v>10</v>
      </c>
      <c r="M2" s="2" t="s">
        <v>11</v>
      </c>
      <c r="N2" s="2" t="s">
        <v>12</v>
      </c>
    </row>
    <row r="3">
      <c r="A3" s="17">
        <f>I3</f>
        <v>2.8</v>
      </c>
      <c r="B3" s="20">
        <f>N3</f>
        <v>91.2</v>
      </c>
      <c r="C3" s="17">
        <v>120.0</v>
      </c>
      <c r="D3" s="20">
        <f>PRODUCT(60,C3)</f>
        <v>7200</v>
      </c>
      <c r="E3" s="20">
        <f>sum(QUOTIENT(D3,B3),2)</f>
        <v>80</v>
      </c>
      <c r="F3" s="20">
        <f>PRODUCT(E3,A3)</f>
        <v>224</v>
      </c>
      <c r="G3" s="20">
        <f>sum(F3,-sum(J8,-product(I3,2)))</f>
        <v>169.6</v>
      </c>
      <c r="H3" s="2"/>
      <c r="I3" s="17">
        <v>2.8</v>
      </c>
      <c r="J3" s="17">
        <v>3.75</v>
      </c>
      <c r="K3" s="2"/>
      <c r="L3" s="17">
        <v>1.0</v>
      </c>
      <c r="M3" s="17">
        <v>31.2</v>
      </c>
      <c r="N3" s="20">
        <f>sum(product(L3,60),M3)</f>
        <v>91.2</v>
      </c>
      <c r="O3" s="2"/>
      <c r="P3" s="2" t="s">
        <v>50</v>
      </c>
      <c r="Q3" s="2">
        <v>28.0</v>
      </c>
    </row>
    <row r="4">
      <c r="F4" s="2"/>
      <c r="H4" s="2"/>
      <c r="N4" s="2"/>
      <c r="P4" s="2" t="s">
        <v>51</v>
      </c>
      <c r="Q4" s="2">
        <v>28.6</v>
      </c>
    </row>
    <row r="5">
      <c r="A5" s="2" t="s">
        <v>52</v>
      </c>
      <c r="B5" s="2"/>
      <c r="C5" s="2"/>
      <c r="D5" s="2"/>
      <c r="E5" s="2"/>
      <c r="F5" s="2"/>
      <c r="I5" s="26" t="s">
        <v>43</v>
      </c>
      <c r="J5" s="26" t="s">
        <v>45</v>
      </c>
      <c r="K5" s="2" t="s">
        <v>53</v>
      </c>
      <c r="L5" s="2" t="s">
        <v>54</v>
      </c>
      <c r="M5" s="2" t="s">
        <v>55</v>
      </c>
      <c r="N5" s="2"/>
      <c r="P5" s="2" t="s">
        <v>56</v>
      </c>
      <c r="Q5" s="2">
        <v>35.2</v>
      </c>
    </row>
    <row r="6">
      <c r="A6" s="2" t="s">
        <v>35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36</v>
      </c>
      <c r="I6" s="26"/>
      <c r="J6" s="27">
        <f>I3</f>
        <v>2.8</v>
      </c>
      <c r="K6" s="27">
        <f>Q7</f>
        <v>2.822201317</v>
      </c>
      <c r="L6" s="29">
        <f>Q3</f>
        <v>28</v>
      </c>
      <c r="M6" s="20">
        <f>multiply(K6,L6)</f>
        <v>79.02163688</v>
      </c>
      <c r="P6" s="2" t="s">
        <v>57</v>
      </c>
      <c r="Q6" s="2">
        <v>42.5</v>
      </c>
    </row>
    <row r="7">
      <c r="A7" s="17">
        <f>J3</f>
        <v>3.75</v>
      </c>
      <c r="B7" s="20">
        <f>N3</f>
        <v>91.2</v>
      </c>
      <c r="C7" s="17">
        <v>45.0</v>
      </c>
      <c r="D7" s="20">
        <f>PRODUCT(60,C7)</f>
        <v>2700</v>
      </c>
      <c r="E7" s="20">
        <f>sum(QUOTIENT(D7,B7),2)</f>
        <v>31</v>
      </c>
      <c r="F7" s="20">
        <f>PRODUCT(E7,A7)</f>
        <v>116.25</v>
      </c>
      <c r="G7" s="20">
        <f>sum(F7,-sum(J13,-product(J3,2)))</f>
        <v>68.75</v>
      </c>
      <c r="L7" s="26" t="s">
        <v>48</v>
      </c>
      <c r="P7" s="2" t="s">
        <v>60</v>
      </c>
      <c r="Q7">
        <f>divide(sum(80,100,120),sum(Q4:Q6))</f>
        <v>2.822201317</v>
      </c>
    </row>
    <row r="8">
      <c r="F8" s="2"/>
      <c r="I8" s="2" t="s">
        <v>61</v>
      </c>
      <c r="J8" s="29">
        <v>60.0</v>
      </c>
      <c r="L8" s="27">
        <f>sum(rounddown(divide(J8,J6),0),-1)</f>
        <v>20</v>
      </c>
      <c r="M8" s="2" t="s">
        <v>62</v>
      </c>
      <c r="N8">
        <f>DIVIDE(G3,Q7)</f>
        <v>60.09493333</v>
      </c>
    </row>
    <row r="9">
      <c r="A9" s="2" t="s">
        <v>42</v>
      </c>
      <c r="B9" s="2"/>
      <c r="C9" s="2"/>
      <c r="D9" s="2"/>
      <c r="E9" s="2"/>
      <c r="F9" s="2"/>
      <c r="I9" s="2" t="s">
        <v>63</v>
      </c>
      <c r="J9" s="29">
        <v>120.0</v>
      </c>
      <c r="L9" s="27">
        <f>sum(rounddown(divide(J9,J6),0),-1)</f>
        <v>41</v>
      </c>
      <c r="M9" s="2" t="s">
        <v>62</v>
      </c>
      <c r="N9">
        <f>sum(L6,divide(120,Q7))</f>
        <v>70.52</v>
      </c>
    </row>
    <row r="10">
      <c r="A10" s="2" t="s">
        <v>35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36</v>
      </c>
      <c r="I10" s="2"/>
      <c r="J10" s="2" t="s">
        <v>64</v>
      </c>
    </row>
    <row r="11">
      <c r="A11" s="17">
        <f>I3</f>
        <v>2.8</v>
      </c>
      <c r="B11" s="20">
        <f>N3</f>
        <v>91.2</v>
      </c>
      <c r="C11" s="17">
        <v>75.0</v>
      </c>
      <c r="D11" s="20">
        <f>PRODUCT(60,C11)</f>
        <v>4500</v>
      </c>
      <c r="E11" s="20">
        <f>sum(QUOTIENT(D11,B11),2)</f>
        <v>51</v>
      </c>
      <c r="F11" s="20">
        <f>PRODUCT(E11,A11)</f>
        <v>142.8</v>
      </c>
      <c r="G11" s="20">
        <f>sum(F11,-sum(J9,-product(I3,2)))</f>
        <v>28.4</v>
      </c>
      <c r="I11" s="2"/>
      <c r="J11" s="29">
        <f>J3</f>
        <v>3.75</v>
      </c>
    </row>
    <row r="12">
      <c r="I12" s="2" t="s">
        <v>65</v>
      </c>
      <c r="J12" s="2"/>
      <c r="L12" s="2" t="s">
        <v>48</v>
      </c>
    </row>
    <row r="13">
      <c r="A13" s="2" t="s">
        <v>66</v>
      </c>
      <c r="I13" s="2" t="s">
        <v>61</v>
      </c>
      <c r="J13" s="29">
        <v>55.0</v>
      </c>
      <c r="L13" s="27">
        <f>sum(rounddown(divide(J8,J11),0),-1)</f>
        <v>15</v>
      </c>
    </row>
    <row r="14">
      <c r="A14" s="2" t="s">
        <v>35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59</v>
      </c>
      <c r="I14" s="2" t="s">
        <v>63</v>
      </c>
      <c r="J14" s="29">
        <v>120.0</v>
      </c>
      <c r="L14" s="27">
        <f>sum(rounddown(divide(J9,J11),0),-1)</f>
        <v>31</v>
      </c>
    </row>
    <row r="15">
      <c r="A15" s="30">
        <f>I3</f>
        <v>2.8</v>
      </c>
      <c r="B15" s="20">
        <f>N3</f>
        <v>91.2</v>
      </c>
      <c r="C15" s="30">
        <f>multiply(12,60)</f>
        <v>720</v>
      </c>
      <c r="D15" s="20">
        <f>multiply(C15,60)</f>
        <v>43200</v>
      </c>
      <c r="E15" s="20">
        <f>roundup(divide(720,rounddown(divide(sum(N3,2),60),3)),0)</f>
        <v>464</v>
      </c>
      <c r="F15" s="20">
        <f>multiply(E15,A15)</f>
        <v>1299.2</v>
      </c>
      <c r="G15" s="20">
        <f>roundup(divide(F15,J9),0)</f>
        <v>11</v>
      </c>
    </row>
    <row r="16">
      <c r="J16" s="2"/>
      <c r="K16" s="2"/>
      <c r="M16" s="2"/>
    </row>
    <row r="17">
      <c r="A17" s="2" t="s">
        <v>58</v>
      </c>
      <c r="J17" s="2"/>
      <c r="K17" s="2"/>
    </row>
    <row r="18">
      <c r="A18" s="2" t="s">
        <v>35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s="2" t="s">
        <v>59</v>
      </c>
      <c r="J18" s="2"/>
      <c r="K18" s="2"/>
      <c r="L18" s="2"/>
    </row>
    <row r="19">
      <c r="A19" s="30">
        <f>I3</f>
        <v>2.8</v>
      </c>
      <c r="B19" s="20">
        <f>N3</f>
        <v>91.2</v>
      </c>
      <c r="C19" s="30">
        <f>multiply(24,60)</f>
        <v>1440</v>
      </c>
      <c r="D19" s="20">
        <f>multiply(C19,60)</f>
        <v>86400</v>
      </c>
      <c r="E19" s="20">
        <f>roundup(divide(1440,rounddown(divide(sum(N3,2),60),3)),0)</f>
        <v>928</v>
      </c>
      <c r="F19" s="20">
        <f>multiply(E19,A19)</f>
        <v>2598.4</v>
      </c>
      <c r="G19" s="20">
        <f>roundup(divide(F19,J9),0)</f>
        <v>22</v>
      </c>
      <c r="K19" s="2"/>
    </row>
    <row r="20">
      <c r="K20" s="2"/>
      <c r="M20" s="2"/>
      <c r="N2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34</v>
      </c>
      <c r="G1" s="2" t="s">
        <v>13</v>
      </c>
      <c r="H1" s="2">
        <v>95.0</v>
      </c>
      <c r="I1" s="2">
        <v>2.678</v>
      </c>
      <c r="J1">
        <f>AVERAGE(I1:I11)</f>
        <v>2.344272727</v>
      </c>
    </row>
    <row r="2">
      <c r="A2" s="2" t="s">
        <v>39</v>
      </c>
      <c r="G2" s="2" t="s">
        <v>20</v>
      </c>
      <c r="H2">
        <f>H4*60</f>
        <v>3600</v>
      </c>
      <c r="I2" s="2">
        <v>2.25</v>
      </c>
      <c r="J2">
        <f>MEDIAN(I1:I11)</f>
        <v>2.318</v>
      </c>
    </row>
    <row r="3">
      <c r="A3">
        <f>(2*H1)/((H2/H3)+2)</f>
        <v>4.523809524</v>
      </c>
      <c r="G3" s="2" t="s">
        <v>21</v>
      </c>
      <c r="H3">
        <f>(H5*60)+H6</f>
        <v>90</v>
      </c>
      <c r="I3" s="2">
        <v>2.284</v>
      </c>
      <c r="J3" s="2" t="s">
        <v>40</v>
      </c>
    </row>
    <row r="4">
      <c r="A4" s="2" t="s">
        <v>41</v>
      </c>
      <c r="G4" s="2" t="s">
        <v>15</v>
      </c>
      <c r="H4" s="2">
        <v>60.0</v>
      </c>
      <c r="I4" s="2">
        <v>2.29</v>
      </c>
    </row>
    <row r="5">
      <c r="A5">
        <f>((H2 / H3) + 2) * 2.345</f>
        <v>98.49</v>
      </c>
      <c r="G5" s="2" t="s">
        <v>44</v>
      </c>
      <c r="H5" s="2">
        <v>1.0</v>
      </c>
      <c r="I5" s="2">
        <v>2.311</v>
      </c>
    </row>
    <row r="6">
      <c r="G6" s="2" t="s">
        <v>46</v>
      </c>
      <c r="H6" s="2">
        <v>30.0</v>
      </c>
      <c r="I6" s="2">
        <v>2.307</v>
      </c>
    </row>
    <row r="7">
      <c r="G7" s="2" t="s">
        <v>49</v>
      </c>
      <c r="H7" s="2">
        <v>90.0</v>
      </c>
      <c r="I7" s="2">
        <v>2.318</v>
      </c>
    </row>
    <row r="8">
      <c r="I8" s="2">
        <v>2.348</v>
      </c>
    </row>
    <row r="9">
      <c r="I9" s="2">
        <v>2.333</v>
      </c>
    </row>
    <row r="10">
      <c r="I10" s="2">
        <v>2.345</v>
      </c>
    </row>
    <row r="11">
      <c r="I11" s="2">
        <v>2.323</v>
      </c>
    </row>
  </sheetData>
  <drawing r:id="rId1"/>
</worksheet>
</file>